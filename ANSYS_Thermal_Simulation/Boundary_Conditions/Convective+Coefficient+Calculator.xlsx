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QI CFD Center\Courses\Course\Lecture-8\Resources\"/>
    </mc:Choice>
  </mc:AlternateContent>
  <xr:revisionPtr revIDLastSave="0" documentId="13_ncr:1_{ED9281F1-E34D-46BB-AF28-975E5C81391A}" xr6:coauthVersionLast="47" xr6:coauthVersionMax="47" xr10:uidLastSave="{00000000-0000-0000-0000-000000000000}"/>
  <bookViews>
    <workbookView xWindow="-120" yWindow="-120" windowWidth="20730" windowHeight="11160" xr2:uid="{4AF35F0C-5D08-4766-9CA9-E6829C4494B1}"/>
  </bookViews>
  <sheets>
    <sheet name="Quick Data Sheet" sheetId="2" r:id="rId1"/>
    <sheet name="Calculations" sheetId="1" r:id="rId2"/>
  </sheets>
  <definedNames>
    <definedName name="h_bottom">'Quick Data Sheet'!$N$8:$O$8</definedName>
    <definedName name="h_upper">'Quick Data Sheet'!$I$5:$J$5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I31" i="1"/>
  <c r="G5" i="1"/>
  <c r="G7" i="1"/>
  <c r="G4" i="1"/>
  <c r="B5" i="1"/>
  <c r="A12" i="1" s="1"/>
  <c r="D12" i="1" s="1"/>
  <c r="B4" i="1"/>
  <c r="G8" i="2"/>
  <c r="G7" i="2"/>
  <c r="E8" i="2"/>
  <c r="E7" i="2"/>
  <c r="E29" i="1" l="1"/>
  <c r="E19" i="1"/>
  <c r="C12" i="1"/>
  <c r="B12" i="1"/>
  <c r="E20" i="1" s="1"/>
  <c r="E12" i="1"/>
  <c r="E30" i="1" l="1"/>
  <c r="B15" i="1"/>
  <c r="F12" i="1"/>
  <c r="E31" i="1" l="1"/>
  <c r="F15" i="1"/>
  <c r="B20" i="1"/>
  <c r="B19" i="1" s="1"/>
  <c r="B29" i="1" s="1"/>
  <c r="E21" i="1"/>
  <c r="H22" i="1" s="1"/>
  <c r="I32" i="1" l="1"/>
  <c r="H32" i="1"/>
  <c r="E32" i="1" s="1"/>
  <c r="E33" i="1" s="1"/>
  <c r="G32" i="1"/>
  <c r="G22" i="1"/>
  <c r="E22" i="1" s="1"/>
  <c r="B35" i="1" l="1"/>
  <c r="B36" i="1" s="1"/>
  <c r="N8" i="2" s="1"/>
  <c r="E23" i="1"/>
  <c r="B25" i="1"/>
  <c r="B26" i="1" s="1"/>
  <c r="I5" i="2" s="1"/>
</calcChain>
</file>

<file path=xl/sharedStrings.xml><?xml version="1.0" encoding="utf-8"?>
<sst xmlns="http://schemas.openxmlformats.org/spreadsheetml/2006/main" count="90" uniqueCount="56">
  <si>
    <t>Pr</t>
  </si>
  <si>
    <r>
      <t xml:space="preserve">Cp
</t>
    </r>
    <r>
      <rPr>
        <sz val="12"/>
        <color theme="1"/>
        <rFont val="Arial"/>
        <family val="2"/>
      </rPr>
      <t>[J/kg.K]</t>
    </r>
  </si>
  <si>
    <r>
      <t xml:space="preserve">k
</t>
    </r>
    <r>
      <rPr>
        <sz val="12"/>
        <color theme="1"/>
        <rFont val="Arial"/>
        <family val="2"/>
      </rPr>
      <t>[W/m.K]</t>
    </r>
  </si>
  <si>
    <r>
      <rPr>
        <b/>
        <sz val="12"/>
        <color theme="1"/>
        <rFont val="Calibri"/>
        <family val="2"/>
      </rPr>
      <t xml:space="preserve">μ
</t>
    </r>
    <r>
      <rPr>
        <sz val="12"/>
        <color theme="1"/>
        <rFont val="Arial"/>
        <family val="2"/>
      </rPr>
      <t xml:space="preserve"> [N.s/m^2]</t>
    </r>
  </si>
  <si>
    <r>
      <rPr>
        <b/>
        <sz val="12"/>
        <color theme="1"/>
        <rFont val="Calibri"/>
        <family val="2"/>
      </rPr>
      <t>ρ</t>
    </r>
    <r>
      <rPr>
        <b/>
        <sz val="12"/>
        <color theme="1"/>
        <rFont val="Arial"/>
        <family val="2"/>
      </rPr>
      <t xml:space="preserve"> 
</t>
    </r>
    <r>
      <rPr>
        <sz val="12"/>
        <color theme="1"/>
        <rFont val="Arial"/>
        <family val="2"/>
      </rPr>
      <t>[kg/m^3]</t>
    </r>
  </si>
  <si>
    <r>
      <t xml:space="preserve">T </t>
    </r>
    <r>
      <rPr>
        <sz val="12"/>
        <color theme="1"/>
        <rFont val="Arial"/>
        <family val="2"/>
      </rPr>
      <t>[K]</t>
    </r>
  </si>
  <si>
    <t>Ambient Conditions</t>
  </si>
  <si>
    <r>
      <t>U</t>
    </r>
    <r>
      <rPr>
        <sz val="12"/>
        <color theme="1"/>
        <rFont val="Calibri"/>
        <family val="2"/>
      </rPr>
      <t>͚</t>
    </r>
    <r>
      <rPr>
        <sz val="12"/>
        <color theme="1"/>
        <rFont val="Arial"/>
        <family val="2"/>
      </rPr>
      <t xml:space="preserve"> =</t>
    </r>
  </si>
  <si>
    <t>m/s</t>
  </si>
  <si>
    <t>Wind velocity</t>
  </si>
  <si>
    <r>
      <t>T</t>
    </r>
    <r>
      <rPr>
        <sz val="12"/>
        <color theme="1"/>
        <rFont val="Calibri"/>
        <family val="2"/>
      </rPr>
      <t>͚</t>
    </r>
    <r>
      <rPr>
        <sz val="12"/>
        <color theme="1"/>
        <rFont val="Arial"/>
        <family val="2"/>
      </rPr>
      <t xml:space="preserve"> =</t>
    </r>
  </si>
  <si>
    <t>Ambient temperature</t>
  </si>
  <si>
    <r>
      <rPr>
        <sz val="12"/>
        <color theme="1"/>
        <rFont val="Calibri"/>
        <family val="2"/>
      </rPr>
      <t>°</t>
    </r>
    <r>
      <rPr>
        <sz val="12"/>
        <color theme="1"/>
        <rFont val="Arial"/>
        <family val="2"/>
      </rPr>
      <t>C</t>
    </r>
  </si>
  <si>
    <t>Collector Specifications</t>
  </si>
  <si>
    <t xml:space="preserve">W= </t>
  </si>
  <si>
    <t>L=</t>
  </si>
  <si>
    <t>m</t>
  </si>
  <si>
    <t>Length</t>
  </si>
  <si>
    <t>Width</t>
  </si>
  <si>
    <t>Slop angle</t>
  </si>
  <si>
    <r>
      <rPr>
        <sz val="12"/>
        <color theme="1"/>
        <rFont val="Calibri"/>
        <family val="2"/>
      </rPr>
      <t>β</t>
    </r>
    <r>
      <rPr>
        <sz val="12"/>
        <color theme="1"/>
        <rFont val="Arial"/>
        <family val="2"/>
      </rPr>
      <t xml:space="preserve"> =</t>
    </r>
  </si>
  <si>
    <t>°</t>
  </si>
  <si>
    <t>Air thermophysical properties</t>
  </si>
  <si>
    <t>Wind flow regime</t>
  </si>
  <si>
    <t>Re =</t>
  </si>
  <si>
    <t>Reynold's number indicates that it's</t>
  </si>
  <si>
    <t>flow</t>
  </si>
  <si>
    <t>Forced Convection Parameters</t>
  </si>
  <si>
    <t xml:space="preserve">h= </t>
  </si>
  <si>
    <t>W/m2.K</t>
  </si>
  <si>
    <t>Natural Convection Parameters</t>
  </si>
  <si>
    <t>surface</t>
  </si>
  <si>
    <t>For</t>
  </si>
  <si>
    <t>Gr =</t>
  </si>
  <si>
    <r>
      <t>T</t>
    </r>
    <r>
      <rPr>
        <sz val="9"/>
        <color theme="1"/>
        <rFont val="Arial"/>
        <family val="2"/>
      </rPr>
      <t>s</t>
    </r>
    <r>
      <rPr>
        <sz val="12"/>
        <color theme="1"/>
        <rFont val="Arial"/>
        <family val="2"/>
      </rPr>
      <t>=</t>
    </r>
  </si>
  <si>
    <t>°C</t>
  </si>
  <si>
    <t>Assumed surface temperature.</t>
  </si>
  <si>
    <t>Ra=</t>
  </si>
  <si>
    <r>
      <t>Nu</t>
    </r>
    <r>
      <rPr>
        <sz val="8"/>
        <color theme="1"/>
        <rFont val="Arial"/>
        <family val="2"/>
      </rPr>
      <t>L</t>
    </r>
    <r>
      <rPr>
        <sz val="12"/>
        <color theme="1"/>
        <rFont val="Arial"/>
        <family val="2"/>
      </rPr>
      <t>=</t>
    </r>
  </si>
  <si>
    <t>h=</t>
  </si>
  <si>
    <t>Mixed Convective coefficient</t>
  </si>
  <si>
    <t>Nu =</t>
  </si>
  <si>
    <t>&lt;45</t>
  </si>
  <si>
    <t>&gt;45</t>
  </si>
  <si>
    <t>Calculations of Mixed Convective coefficient</t>
  </si>
  <si>
    <t>h =</t>
  </si>
  <si>
    <t>Mixed convection coefficient</t>
  </si>
  <si>
    <t>Air flow</t>
  </si>
  <si>
    <t>Ts=</t>
  </si>
  <si>
    <t xml:space="preserve"> Convective coefficient Calculator</t>
  </si>
  <si>
    <t>Prepared By: Dr. Saud T. Al Jadir</t>
  </si>
  <si>
    <r>
      <t xml:space="preserve">Convective heat transfer/ </t>
    </r>
    <r>
      <rPr>
        <b/>
        <i/>
        <u/>
        <sz val="12"/>
        <color theme="1"/>
        <rFont val="Arial"/>
        <family val="2"/>
      </rPr>
      <t>BOTTOM</t>
    </r>
    <r>
      <rPr>
        <b/>
        <sz val="12"/>
        <color rgb="FF002060"/>
        <rFont val="Arial"/>
        <family val="2"/>
      </rPr>
      <t xml:space="preserve"> Surface</t>
    </r>
  </si>
  <si>
    <r>
      <t xml:space="preserve">Convective heat transfer/ </t>
    </r>
    <r>
      <rPr>
        <b/>
        <i/>
        <u/>
        <sz val="12"/>
        <color theme="1"/>
        <rFont val="Arial"/>
        <family val="2"/>
      </rPr>
      <t>UPPER</t>
    </r>
    <r>
      <rPr>
        <b/>
        <sz val="12"/>
        <color rgb="FF002060"/>
        <rFont val="Arial"/>
        <family val="2"/>
      </rPr>
      <t xml:space="preserve"> Surface</t>
    </r>
  </si>
  <si>
    <r>
      <rPr>
        <sz val="11"/>
        <color theme="0"/>
        <rFont val="Calibri"/>
        <family val="2"/>
      </rPr>
      <t>β</t>
    </r>
    <r>
      <rPr>
        <sz val="11"/>
        <color theme="0"/>
        <rFont val="Arial"/>
        <family val="2"/>
      </rPr>
      <t xml:space="preserve"> =</t>
    </r>
  </si>
  <si>
    <t>W m^-2 K^-1</t>
  </si>
  <si>
    <r>
      <t xml:space="preserve">Please, only fill the </t>
    </r>
    <r>
      <rPr>
        <b/>
        <i/>
        <sz val="12"/>
        <color rgb="FFFFFF00"/>
        <rFont val="Arial"/>
        <family val="2"/>
      </rPr>
      <t>yellow</t>
    </r>
    <r>
      <rPr>
        <i/>
        <sz val="12"/>
        <color rgb="FFFFC000"/>
        <rFont val="Arial"/>
        <family val="2"/>
      </rPr>
      <t xml:space="preserve"> cells and leave the others untouched.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</si>
</sst>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2"/>
      <color rgb="FF00206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i/>
      <sz val="12"/>
      <color theme="0" tint="-0.14999847407452621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  <font>
      <sz val="20"/>
      <color theme="0"/>
      <name val="Arial Black"/>
      <family val="2"/>
    </font>
    <font>
      <b/>
      <sz val="26"/>
      <color theme="0"/>
      <name val="Arial Black"/>
      <family val="2"/>
    </font>
    <font>
      <b/>
      <i/>
      <u/>
      <sz val="12"/>
      <color theme="1"/>
      <name val="Arial"/>
      <family val="2"/>
    </font>
    <font>
      <sz val="12"/>
      <color rgb="FFFF0000"/>
      <name val="Arial"/>
      <family val="2"/>
    </font>
    <font>
      <i/>
      <sz val="11"/>
      <color theme="0"/>
      <name val="Arial"/>
      <family val="2"/>
    </font>
    <font>
      <b/>
      <i/>
      <u/>
      <sz val="11"/>
      <color theme="0"/>
      <name val="Arial"/>
      <family val="2"/>
    </font>
    <font>
      <sz val="11"/>
      <color theme="0"/>
      <name val="Arial"/>
      <family val="2"/>
    </font>
    <font>
      <b/>
      <i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</font>
    <font>
      <i/>
      <sz val="12"/>
      <color rgb="FFFFC000"/>
      <name val="Arial"/>
      <family val="2"/>
    </font>
    <font>
      <b/>
      <i/>
      <sz val="12"/>
      <color rgb="FFFFFF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1" fillId="8" borderId="28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1" fillId="10" borderId="6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6" fillId="13" borderId="0" xfId="0" applyFont="1" applyFill="1" applyAlignment="1">
      <alignment vertical="center"/>
    </xf>
    <xf numFmtId="0" fontId="22" fillId="13" borderId="0" xfId="0" applyFont="1" applyFill="1" applyAlignment="1">
      <alignment vertical="center"/>
    </xf>
    <xf numFmtId="0" fontId="22" fillId="13" borderId="0" xfId="0" applyFont="1" applyFill="1" applyAlignment="1">
      <alignment horizontal="right" vertical="center"/>
    </xf>
    <xf numFmtId="0" fontId="23" fillId="13" borderId="0" xfId="0" applyFont="1" applyFill="1" applyAlignment="1">
      <alignment vertical="center"/>
    </xf>
    <xf numFmtId="0" fontId="25" fillId="13" borderId="0" xfId="0" applyFont="1" applyFill="1" applyAlignment="1">
      <alignment vertical="center"/>
    </xf>
    <xf numFmtId="0" fontId="22" fillId="13" borderId="6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left" vertical="center"/>
    </xf>
    <xf numFmtId="0" fontId="22" fillId="13" borderId="7" xfId="0" applyFont="1" applyFill="1" applyBorder="1" applyAlignment="1">
      <alignment horizontal="center" vertical="center"/>
    </xf>
    <xf numFmtId="0" fontId="27" fillId="13" borderId="0" xfId="0" applyFont="1" applyFill="1" applyAlignment="1">
      <alignment horizontal="left" vertical="center"/>
    </xf>
    <xf numFmtId="0" fontId="22" fillId="13" borderId="8" xfId="0" applyFont="1" applyFill="1" applyBorder="1" applyAlignment="1">
      <alignment horizontal="center" vertical="center"/>
    </xf>
    <xf numFmtId="0" fontId="27" fillId="13" borderId="9" xfId="0" applyFont="1" applyFill="1" applyBorder="1" applyAlignment="1">
      <alignment horizontal="left" vertical="center"/>
    </xf>
    <xf numFmtId="0" fontId="20" fillId="13" borderId="9" xfId="0" applyFont="1" applyFill="1" applyBorder="1" applyAlignment="1">
      <alignment vertical="center"/>
    </xf>
    <xf numFmtId="0" fontId="22" fillId="13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26" fillId="13" borderId="3" xfId="0" applyFont="1" applyFill="1" applyBorder="1" applyAlignment="1">
      <alignment horizontal="left" vertical="center"/>
    </xf>
    <xf numFmtId="0" fontId="26" fillId="13" borderId="4" xfId="0" applyFont="1" applyFill="1" applyBorder="1" applyAlignment="1">
      <alignment horizontal="left" vertical="center"/>
    </xf>
    <xf numFmtId="0" fontId="26" fillId="13" borderId="5" xfId="0" applyFont="1" applyFill="1" applyBorder="1" applyAlignment="1">
      <alignment horizontal="left" vertical="center"/>
    </xf>
    <xf numFmtId="0" fontId="20" fillId="13" borderId="0" xfId="0" applyFont="1" applyFill="1" applyAlignment="1">
      <alignment horizontal="left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9" borderId="24" xfId="0" applyFont="1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17" fillId="9" borderId="25" xfId="0" applyFont="1" applyFill="1" applyBorder="1" applyAlignment="1">
      <alignment horizontal="center" vertical="center"/>
    </xf>
    <xf numFmtId="0" fontId="20" fillId="13" borderId="20" xfId="0" applyFont="1" applyFill="1" applyBorder="1" applyAlignment="1">
      <alignment horizontal="left" vertical="center"/>
    </xf>
    <xf numFmtId="0" fontId="21" fillId="13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3" fillId="7" borderId="31" xfId="0" applyFont="1" applyFill="1" applyBorder="1" applyAlignment="1">
      <alignment horizontal="left" vertical="center"/>
    </xf>
    <xf numFmtId="0" fontId="3" fillId="7" borderId="26" xfId="0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16" fillId="9" borderId="3" xfId="0" applyFont="1" applyFill="1" applyBorder="1" applyAlignment="1">
      <alignment horizontal="left" vertical="center"/>
    </xf>
    <xf numFmtId="0" fontId="16" fillId="9" borderId="4" xfId="0" applyFont="1" applyFill="1" applyBorder="1" applyAlignment="1">
      <alignment horizontal="left" vertical="center"/>
    </xf>
    <xf numFmtId="0" fontId="16" fillId="9" borderId="5" xfId="0" applyFont="1" applyFill="1" applyBorder="1" applyAlignment="1">
      <alignment horizontal="left" vertical="center"/>
    </xf>
    <xf numFmtId="0" fontId="16" fillId="9" borderId="8" xfId="0" applyFont="1" applyFill="1" applyBorder="1" applyAlignment="1">
      <alignment horizontal="left" vertical="center"/>
    </xf>
    <xf numFmtId="0" fontId="16" fillId="9" borderId="9" xfId="0" applyFont="1" applyFill="1" applyBorder="1" applyAlignment="1">
      <alignment horizontal="left" vertical="center"/>
    </xf>
    <xf numFmtId="0" fontId="16" fillId="9" borderId="1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4" borderId="17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9" fillId="10" borderId="6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8" fillId="9" borderId="33" xfId="0" applyFont="1" applyFill="1" applyBorder="1" applyAlignment="1">
      <alignment horizontal="left" wrapText="1"/>
    </xf>
    <xf numFmtId="0" fontId="28" fillId="9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6</xdr:row>
      <xdr:rowOff>0</xdr:rowOff>
    </xdr:from>
    <xdr:to>
      <xdr:col>10</xdr:col>
      <xdr:colOff>28575</xdr:colOff>
      <xdr:row>18</xdr:row>
      <xdr:rowOff>19050</xdr:rowOff>
    </xdr:to>
    <xdr:sp macro="" textlink="">
      <xdr:nvSpPr>
        <xdr:cNvPr id="7" name="Parallelogram 6">
          <a:extLst>
            <a:ext uri="{FF2B5EF4-FFF2-40B4-BE49-F238E27FC236}">
              <a16:creationId xmlns:a16="http://schemas.microsoft.com/office/drawing/2014/main" id="{8249DFE7-C91E-2412-7569-A32D951824A0}"/>
            </a:ext>
          </a:extLst>
        </xdr:cNvPr>
        <xdr:cNvSpPr/>
      </xdr:nvSpPr>
      <xdr:spPr>
        <a:xfrm>
          <a:off x="3162300" y="1152525"/>
          <a:ext cx="3571875" cy="2438400"/>
        </a:xfrm>
        <a:prstGeom prst="parallelogram">
          <a:avLst>
            <a:gd name="adj" fmla="val 53058"/>
          </a:avLst>
        </a:prstGeom>
        <a:pattFill prst="wave">
          <a:fgClr>
            <a:schemeClr val="accent1">
              <a:lumMod val="40000"/>
              <a:lumOff val="60000"/>
            </a:schemeClr>
          </a:fgClr>
          <a:bgClr>
            <a:schemeClr val="bg1"/>
          </a:bgClr>
        </a:pattFill>
        <a:ln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752474</xdr:colOff>
      <xdr:row>1</xdr:row>
      <xdr:rowOff>38100</xdr:rowOff>
    </xdr:from>
    <xdr:to>
      <xdr:col>12</xdr:col>
      <xdr:colOff>647699</xdr:colOff>
      <xdr:row>23</xdr:row>
      <xdr:rowOff>102870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7C24A-4975-4E68-BE5B-4939E93E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410074" y="228600"/>
          <a:ext cx="4467225" cy="4398645"/>
        </a:xfrm>
        <a:prstGeom prst="rect">
          <a:avLst/>
        </a:prstGeom>
      </xdr:spPr>
    </xdr:pic>
    <xdr:clientData/>
  </xdr:twoCellAnchor>
  <xdr:twoCellAnchor>
    <xdr:from>
      <xdr:col>9</xdr:col>
      <xdr:colOff>114300</xdr:colOff>
      <xdr:row>5</xdr:row>
      <xdr:rowOff>104775</xdr:rowOff>
    </xdr:from>
    <xdr:to>
      <xdr:col>9</xdr:col>
      <xdr:colOff>533400</xdr:colOff>
      <xdr:row>9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2F1DAE5-45A9-9404-4034-CEE155A79800}"/>
            </a:ext>
          </a:extLst>
        </xdr:cNvPr>
        <xdr:cNvCxnSpPr/>
      </xdr:nvCxnSpPr>
      <xdr:spPr>
        <a:xfrm flipH="1" flipV="1">
          <a:off x="6057900" y="1057275"/>
          <a:ext cx="419100" cy="7715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695325</xdr:colOff>
      <xdr:row>7</xdr:row>
      <xdr:rowOff>85725</xdr:rowOff>
    </xdr:from>
    <xdr:to>
      <xdr:col>12</xdr:col>
      <xdr:colOff>495300</xdr:colOff>
      <xdr:row>8</xdr:row>
      <xdr:rowOff>76200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56009C6-A885-4D9C-BCE8-9E5CC1ECAB81}"/>
            </a:ext>
          </a:extLst>
        </xdr:cNvPr>
        <xdr:cNvCxnSpPr/>
      </xdr:nvCxnSpPr>
      <xdr:spPr>
        <a:xfrm>
          <a:off x="8162925" y="1419225"/>
          <a:ext cx="561975" cy="1809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5</xdr:row>
      <xdr:rowOff>171450</xdr:rowOff>
    </xdr:from>
    <xdr:to>
      <xdr:col>7</xdr:col>
      <xdr:colOff>514350</xdr:colOff>
      <xdr:row>5</xdr:row>
      <xdr:rowOff>171450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A4DC234-7060-41FF-845E-26FBBD02D95B}"/>
            </a:ext>
          </a:extLst>
        </xdr:cNvPr>
        <xdr:cNvCxnSpPr/>
      </xdr:nvCxnSpPr>
      <xdr:spPr>
        <a:xfrm>
          <a:off x="3924300" y="1171575"/>
          <a:ext cx="1009650" cy="0"/>
        </a:xfrm>
        <a:prstGeom prst="straightConnector1">
          <a:avLst/>
        </a:prstGeom>
        <a:ln w="381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7</xdr:row>
      <xdr:rowOff>19050</xdr:rowOff>
    </xdr:from>
    <xdr:to>
      <xdr:col>7</xdr:col>
      <xdr:colOff>514350</xdr:colOff>
      <xdr:row>7</xdr:row>
      <xdr:rowOff>19050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87D96C9-5EA0-4EFF-B355-2D71516FA192}"/>
            </a:ext>
          </a:extLst>
        </xdr:cNvPr>
        <xdr:cNvCxnSpPr/>
      </xdr:nvCxnSpPr>
      <xdr:spPr>
        <a:xfrm>
          <a:off x="3924300" y="1428750"/>
          <a:ext cx="1009650" cy="0"/>
        </a:xfrm>
        <a:prstGeom prst="straightConnector1">
          <a:avLst/>
        </a:prstGeom>
        <a:ln w="381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8</xdr:row>
      <xdr:rowOff>38100</xdr:rowOff>
    </xdr:from>
    <xdr:to>
      <xdr:col>7</xdr:col>
      <xdr:colOff>514350</xdr:colOff>
      <xdr:row>8</xdr:row>
      <xdr:rowOff>38100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9BD3794-2FE8-4414-B908-B999563C79D1}"/>
            </a:ext>
          </a:extLst>
        </xdr:cNvPr>
        <xdr:cNvCxnSpPr/>
      </xdr:nvCxnSpPr>
      <xdr:spPr>
        <a:xfrm>
          <a:off x="3924300" y="1695450"/>
          <a:ext cx="1009650" cy="0"/>
        </a:xfrm>
        <a:prstGeom prst="straightConnector1">
          <a:avLst/>
        </a:prstGeom>
        <a:ln w="381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9</xdr:row>
      <xdr:rowOff>104775</xdr:rowOff>
    </xdr:from>
    <xdr:to>
      <xdr:col>7</xdr:col>
      <xdr:colOff>514350</xdr:colOff>
      <xdr:row>9</xdr:row>
      <xdr:rowOff>104775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7DC8FF9-8571-4D47-A124-0FA800780033}"/>
            </a:ext>
          </a:extLst>
        </xdr:cNvPr>
        <xdr:cNvCxnSpPr/>
      </xdr:nvCxnSpPr>
      <xdr:spPr>
        <a:xfrm>
          <a:off x="3924300" y="1952625"/>
          <a:ext cx="1009650" cy="0"/>
        </a:xfrm>
        <a:prstGeom prst="straightConnector1">
          <a:avLst/>
        </a:prstGeom>
        <a:ln w="381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0</xdr:row>
      <xdr:rowOff>19050</xdr:rowOff>
    </xdr:from>
    <xdr:to>
      <xdr:col>10</xdr:col>
      <xdr:colOff>0</xdr:colOff>
      <xdr:row>2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46545AD-716A-85A0-EE62-164F4DD3E7E9}"/>
            </a:ext>
          </a:extLst>
        </xdr:cNvPr>
        <xdr:cNvSpPr/>
      </xdr:nvSpPr>
      <xdr:spPr>
        <a:xfrm>
          <a:off x="9525" y="19050"/>
          <a:ext cx="6696075" cy="523875"/>
        </a:xfrm>
        <a:prstGeom prst="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51435</xdr:colOff>
      <xdr:row>0</xdr:row>
      <xdr:rowOff>28575</xdr:rowOff>
    </xdr:from>
    <xdr:to>
      <xdr:col>10</xdr:col>
      <xdr:colOff>325755</xdr:colOff>
      <xdr:row>1</xdr:row>
      <xdr:rowOff>112395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1C615D-2C5D-E60F-3FE4-28BCD53E4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757035" y="2857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11</xdr:col>
      <xdr:colOff>332423</xdr:colOff>
      <xdr:row>0</xdr:row>
      <xdr:rowOff>28575</xdr:rowOff>
    </xdr:from>
    <xdr:to>
      <xdr:col>11</xdr:col>
      <xdr:colOff>606743</xdr:colOff>
      <xdr:row>1</xdr:row>
      <xdr:rowOff>112395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59BFA8-5CF3-4963-9F48-28AD75BB0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800023" y="2857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12</xdr:col>
      <xdr:colOff>91917</xdr:colOff>
      <xdr:row>0</xdr:row>
      <xdr:rowOff>28575</xdr:rowOff>
    </xdr:from>
    <xdr:to>
      <xdr:col>12</xdr:col>
      <xdr:colOff>366237</xdr:colOff>
      <xdr:row>1</xdr:row>
      <xdr:rowOff>112395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BBB4DDA-0C3C-43B1-8E0A-4E7C4DDA5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321517" y="2857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12</xdr:col>
      <xdr:colOff>613410</xdr:colOff>
      <xdr:row>0</xdr:row>
      <xdr:rowOff>28575</xdr:rowOff>
    </xdr:from>
    <xdr:to>
      <xdr:col>13</xdr:col>
      <xdr:colOff>125730</xdr:colOff>
      <xdr:row>1</xdr:row>
      <xdr:rowOff>112395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0AA948D-2D27-4AE3-99A4-59FE6B74B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843010" y="2857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10</xdr:col>
      <xdr:colOff>572929</xdr:colOff>
      <xdr:row>0</xdr:row>
      <xdr:rowOff>28575</xdr:rowOff>
    </xdr:from>
    <xdr:to>
      <xdr:col>11</xdr:col>
      <xdr:colOff>85249</xdr:colOff>
      <xdr:row>1</xdr:row>
      <xdr:rowOff>112395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E1E954B-4302-4101-BE66-594E7935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278529" y="2857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0</xdr:row>
      <xdr:rowOff>0</xdr:rowOff>
    </xdr:from>
    <xdr:to>
      <xdr:col>13</xdr:col>
      <xdr:colOff>655320</xdr:colOff>
      <xdr:row>1</xdr:row>
      <xdr:rowOff>83820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1BB8503-AFBC-4EDB-8381-709BD3F8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372600" y="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15</xdr:col>
      <xdr:colOff>52388</xdr:colOff>
      <xdr:row>0</xdr:row>
      <xdr:rowOff>0</xdr:rowOff>
    </xdr:from>
    <xdr:to>
      <xdr:col>15</xdr:col>
      <xdr:colOff>326708</xdr:colOff>
      <xdr:row>1</xdr:row>
      <xdr:rowOff>83820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E8E8653-BD57-4D6A-93A9-5D634D72C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415588" y="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15</xdr:col>
      <xdr:colOff>573882</xdr:colOff>
      <xdr:row>0</xdr:row>
      <xdr:rowOff>0</xdr:rowOff>
    </xdr:from>
    <xdr:to>
      <xdr:col>16</xdr:col>
      <xdr:colOff>238602</xdr:colOff>
      <xdr:row>1</xdr:row>
      <xdr:rowOff>83820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C0DF567-93FD-40A9-A9CD-A9D8D3A1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937082" y="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14</xdr:col>
      <xdr:colOff>140494</xdr:colOff>
      <xdr:row>0</xdr:row>
      <xdr:rowOff>0</xdr:rowOff>
    </xdr:from>
    <xdr:to>
      <xdr:col>14</xdr:col>
      <xdr:colOff>414814</xdr:colOff>
      <xdr:row>1</xdr:row>
      <xdr:rowOff>83820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C701BBB-D439-4794-80BF-BDF101091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94094" y="0"/>
          <a:ext cx="274320" cy="27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B519-AB87-4F54-8F2F-115D1BC86847}">
  <dimension ref="A1:AA21"/>
  <sheetViews>
    <sheetView showGridLines="0" tabSelected="1" workbookViewId="0">
      <selection sqref="A1:J3"/>
    </sheetView>
  </sheetViews>
  <sheetFormatPr defaultRowHeight="15" x14ac:dyDescent="0.25"/>
  <cols>
    <col min="1" max="6" width="9.140625" style="16"/>
    <col min="7" max="14" width="11.42578125" style="16" customWidth="1"/>
    <col min="15" max="27" width="9.140625" style="16"/>
  </cols>
  <sheetData>
    <row r="1" spans="1:18" ht="15" customHeight="1" x14ac:dyDescent="0.25">
      <c r="A1" s="78" t="s">
        <v>49</v>
      </c>
      <c r="B1" s="79"/>
      <c r="C1" s="79"/>
      <c r="D1" s="79"/>
      <c r="E1" s="79"/>
      <c r="F1" s="79"/>
      <c r="G1" s="79"/>
      <c r="H1" s="79"/>
      <c r="I1" s="79"/>
      <c r="J1" s="80"/>
      <c r="K1" s="121" t="s">
        <v>55</v>
      </c>
      <c r="L1" s="122"/>
      <c r="M1" s="122"/>
      <c r="N1" s="122"/>
      <c r="O1" s="122"/>
      <c r="P1" s="122"/>
      <c r="Q1" s="122"/>
      <c r="R1" s="122"/>
    </row>
    <row r="2" spans="1:18" ht="15" customHeight="1" x14ac:dyDescent="0.25">
      <c r="A2" s="81"/>
      <c r="B2" s="82"/>
      <c r="C2" s="82"/>
      <c r="D2" s="82"/>
      <c r="E2" s="82"/>
      <c r="F2" s="82"/>
      <c r="G2" s="82"/>
      <c r="H2" s="82"/>
      <c r="I2" s="82"/>
      <c r="J2" s="83"/>
      <c r="K2" s="121"/>
      <c r="L2" s="122"/>
      <c r="M2" s="122"/>
      <c r="N2" s="122"/>
      <c r="O2" s="122"/>
      <c r="P2" s="122"/>
      <c r="Q2" s="122"/>
      <c r="R2" s="122"/>
    </row>
    <row r="3" spans="1:18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121"/>
      <c r="L3" s="122"/>
      <c r="M3" s="122"/>
      <c r="N3" s="122"/>
      <c r="O3" s="122"/>
      <c r="P3" s="122"/>
      <c r="Q3" s="122"/>
      <c r="R3" s="122"/>
    </row>
    <row r="4" spans="1:18" x14ac:dyDescent="0.25">
      <c r="A4" s="87" t="s">
        <v>50</v>
      </c>
      <c r="B4" s="87"/>
      <c r="C4" s="87"/>
      <c r="D4" s="87"/>
      <c r="E4" s="87"/>
      <c r="F4" s="87"/>
      <c r="G4" s="87"/>
      <c r="H4" s="88" t="s">
        <v>46</v>
      </c>
      <c r="I4" s="88"/>
      <c r="J4" s="88"/>
      <c r="K4" s="61"/>
      <c r="L4" s="61"/>
      <c r="M4" s="61"/>
      <c r="N4" s="61"/>
      <c r="O4" s="61"/>
      <c r="P4" s="61"/>
      <c r="Q4" s="61"/>
      <c r="R4" s="61"/>
    </row>
    <row r="5" spans="1:18" x14ac:dyDescent="0.25">
      <c r="A5" s="61"/>
      <c r="B5" s="61"/>
      <c r="C5" s="61"/>
      <c r="D5" s="61"/>
      <c r="E5" s="61"/>
      <c r="F5" s="61"/>
      <c r="G5" s="61"/>
      <c r="H5" s="62" t="s">
        <v>45</v>
      </c>
      <c r="I5" s="63">
        <f>Calculations!B26</f>
        <v>22.449153750555489</v>
      </c>
      <c r="J5" s="61" t="s">
        <v>54</v>
      </c>
      <c r="K5" s="61"/>
      <c r="L5" s="61"/>
      <c r="M5" s="61"/>
      <c r="N5" s="61"/>
      <c r="O5" s="61"/>
      <c r="P5" s="61"/>
      <c r="Q5" s="61"/>
      <c r="R5" s="61"/>
    </row>
    <row r="6" spans="1:18" ht="15.75" x14ac:dyDescent="0.25">
      <c r="A6" s="61"/>
      <c r="B6" s="61"/>
      <c r="C6" s="61"/>
      <c r="D6" s="61"/>
      <c r="E6" s="89" t="s">
        <v>47</v>
      </c>
      <c r="F6" s="89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</row>
    <row r="7" spans="1:18" ht="16.5" customHeight="1" x14ac:dyDescent="0.25">
      <c r="A7" s="61"/>
      <c r="B7" s="61"/>
      <c r="C7" s="61"/>
      <c r="D7" s="61"/>
      <c r="E7" s="64" t="str">
        <f>Calculations!A4</f>
        <v>U͚ =</v>
      </c>
      <c r="F7" s="17">
        <v>4</v>
      </c>
      <c r="G7" s="61" t="str">
        <f>Calculations!C4</f>
        <v>m/s</v>
      </c>
      <c r="H7" s="61"/>
      <c r="I7" s="61"/>
      <c r="J7" s="61"/>
      <c r="K7" s="61"/>
      <c r="L7" s="61"/>
      <c r="M7" s="88" t="s">
        <v>46</v>
      </c>
      <c r="N7" s="88"/>
      <c r="O7" s="88"/>
      <c r="P7" s="61"/>
      <c r="Q7" s="61"/>
      <c r="R7" s="61"/>
    </row>
    <row r="8" spans="1:18" ht="19.5" customHeight="1" x14ac:dyDescent="0.25">
      <c r="A8" s="61"/>
      <c r="B8" s="61"/>
      <c r="C8" s="61"/>
      <c r="D8" s="61"/>
      <c r="E8" s="64" t="str">
        <f>Calculations!A5</f>
        <v>T͚ =</v>
      </c>
      <c r="F8" s="17">
        <v>30</v>
      </c>
      <c r="G8" s="61" t="str">
        <f>Calculations!C5</f>
        <v>°C</v>
      </c>
      <c r="H8" s="61"/>
      <c r="I8" s="61"/>
      <c r="J8" s="61"/>
      <c r="K8" s="61"/>
      <c r="L8" s="61"/>
      <c r="M8" s="62" t="s">
        <v>39</v>
      </c>
      <c r="N8" s="63">
        <f>Calculations!B36</f>
        <v>11.227469052123755</v>
      </c>
      <c r="O8" s="61" t="s">
        <v>54</v>
      </c>
      <c r="P8" s="61"/>
      <c r="Q8" s="61"/>
      <c r="R8" s="61"/>
    </row>
    <row r="9" spans="1:18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</row>
    <row r="10" spans="1:1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</row>
    <row r="11" spans="1:18" ht="15.75" thickBot="1" x14ac:dyDescent="0.3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</row>
    <row r="12" spans="1:18" ht="15.75" thickBot="1" x14ac:dyDescent="0.3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74" t="s">
        <v>13</v>
      </c>
      <c r="N12" s="75"/>
      <c r="O12" s="75"/>
      <c r="P12" s="75"/>
      <c r="Q12" s="75"/>
      <c r="R12" s="76"/>
    </row>
    <row r="13" spans="1:18" ht="15.75" thickBot="1" x14ac:dyDescent="0.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5" t="s">
        <v>15</v>
      </c>
      <c r="N13" s="18">
        <v>1.8</v>
      </c>
      <c r="O13" s="66" t="s">
        <v>16</v>
      </c>
      <c r="P13" s="77" t="s">
        <v>17</v>
      </c>
      <c r="Q13" s="77"/>
      <c r="R13" s="67"/>
    </row>
    <row r="14" spans="1:18" ht="15.75" thickBot="1" x14ac:dyDescent="0.3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5" t="s">
        <v>14</v>
      </c>
      <c r="N14" s="18">
        <v>0.6</v>
      </c>
      <c r="O14" s="66" t="s">
        <v>16</v>
      </c>
      <c r="P14" s="77" t="s">
        <v>18</v>
      </c>
      <c r="Q14" s="77"/>
      <c r="R14" s="67"/>
    </row>
    <row r="15" spans="1:18" ht="15.75" thickBot="1" x14ac:dyDescent="0.3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5" t="s">
        <v>53</v>
      </c>
      <c r="N15" s="18">
        <v>45</v>
      </c>
      <c r="O15" s="68" t="s">
        <v>21</v>
      </c>
      <c r="P15" s="77" t="s">
        <v>19</v>
      </c>
      <c r="Q15" s="77"/>
      <c r="R15" s="67"/>
    </row>
    <row r="16" spans="1:18" ht="15.75" thickBot="1" x14ac:dyDescent="0.3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9" t="s">
        <v>48</v>
      </c>
      <c r="N16" s="19">
        <v>50</v>
      </c>
      <c r="O16" s="70" t="s">
        <v>35</v>
      </c>
      <c r="P16" s="71" t="s">
        <v>36</v>
      </c>
      <c r="Q16" s="71"/>
      <c r="R16" s="72"/>
    </row>
    <row r="17" spans="1:1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</row>
    <row r="18" spans="1:18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</row>
    <row r="19" spans="1:18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</row>
    <row r="20" spans="1:18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</row>
    <row r="21" spans="1:18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</sheetData>
  <mergeCells count="10">
    <mergeCell ref="A1:J3"/>
    <mergeCell ref="A4:G4"/>
    <mergeCell ref="H4:J4"/>
    <mergeCell ref="M7:O7"/>
    <mergeCell ref="E6:F6"/>
    <mergeCell ref="M12:R12"/>
    <mergeCell ref="P13:Q13"/>
    <mergeCell ref="P14:Q14"/>
    <mergeCell ref="P15:Q15"/>
    <mergeCell ref="K1:R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6CE1-029C-423B-B36F-60AEFFAD374D}">
  <dimension ref="A1:U36"/>
  <sheetViews>
    <sheetView showGridLines="0" workbookViewId="0">
      <selection sqref="A1:K2"/>
    </sheetView>
  </sheetViews>
  <sheetFormatPr defaultRowHeight="15" x14ac:dyDescent="0.25"/>
  <cols>
    <col min="1" max="2" width="11.7109375" style="1" customWidth="1"/>
    <col min="3" max="3" width="13.85546875" style="1" customWidth="1"/>
    <col min="4" max="4" width="14.28515625" style="1" customWidth="1"/>
    <col min="5" max="5" width="14.42578125" style="1" customWidth="1"/>
    <col min="6" max="8" width="11.7109375" style="1" customWidth="1"/>
    <col min="9" max="21" width="9.140625" style="1"/>
  </cols>
  <sheetData>
    <row r="1" spans="1:11" x14ac:dyDescent="0.25">
      <c r="A1" s="103" t="s">
        <v>44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</row>
    <row r="2" spans="1:11" ht="15.75" thickBo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8"/>
    </row>
    <row r="3" spans="1:11" ht="16.5" thickBot="1" x14ac:dyDescent="0.3">
      <c r="A3" s="119" t="s">
        <v>6</v>
      </c>
      <c r="B3" s="120"/>
      <c r="C3" s="120"/>
      <c r="D3" s="120"/>
      <c r="E3" s="120"/>
      <c r="F3" s="100" t="s">
        <v>13</v>
      </c>
      <c r="G3" s="101"/>
      <c r="H3" s="101"/>
      <c r="I3" s="101"/>
      <c r="J3" s="101"/>
      <c r="K3" s="102"/>
    </row>
    <row r="4" spans="1:11" ht="16.5" thickBot="1" x14ac:dyDescent="0.3">
      <c r="A4" s="3" t="s">
        <v>7</v>
      </c>
      <c r="B4" s="2">
        <f>'Quick Data Sheet'!F7</f>
        <v>4</v>
      </c>
      <c r="C4" s="29" t="s">
        <v>8</v>
      </c>
      <c r="D4" s="30" t="s">
        <v>9</v>
      </c>
      <c r="E4" s="30"/>
      <c r="F4" s="3" t="s">
        <v>15</v>
      </c>
      <c r="G4" s="2">
        <f>'Quick Data Sheet'!N13</f>
        <v>1.8</v>
      </c>
      <c r="H4" s="29" t="s">
        <v>16</v>
      </c>
      <c r="I4" s="109" t="s">
        <v>17</v>
      </c>
      <c r="J4" s="109"/>
      <c r="K4" s="4"/>
    </row>
    <row r="5" spans="1:11" ht="16.5" thickBot="1" x14ac:dyDescent="0.3">
      <c r="A5" s="5" t="s">
        <v>10</v>
      </c>
      <c r="B5" s="2">
        <f>'Quick Data Sheet'!F8</f>
        <v>30</v>
      </c>
      <c r="C5" s="6" t="s">
        <v>12</v>
      </c>
      <c r="D5" s="118" t="s">
        <v>11</v>
      </c>
      <c r="E5" s="118"/>
      <c r="F5" s="3" t="s">
        <v>14</v>
      </c>
      <c r="G5" s="2">
        <f>'Quick Data Sheet'!N14</f>
        <v>0.6</v>
      </c>
      <c r="H5" s="29" t="s">
        <v>16</v>
      </c>
      <c r="I5" s="109" t="s">
        <v>18</v>
      </c>
      <c r="J5" s="109"/>
      <c r="K5" s="4"/>
    </row>
    <row r="6" spans="1:11" ht="16.5" thickBot="1" x14ac:dyDescent="0.3">
      <c r="A6" s="46"/>
      <c r="B6" s="47"/>
      <c r="C6" s="73"/>
      <c r="D6" s="73"/>
      <c r="E6" s="73"/>
      <c r="F6" s="3" t="s">
        <v>20</v>
      </c>
      <c r="G6" s="2">
        <f>'Quick Data Sheet'!N15</f>
        <v>45</v>
      </c>
      <c r="H6" s="31" t="s">
        <v>21</v>
      </c>
      <c r="I6" s="109" t="s">
        <v>19</v>
      </c>
      <c r="J6" s="109"/>
      <c r="K6" s="4"/>
    </row>
    <row r="7" spans="1:11" ht="16.5" thickBot="1" x14ac:dyDescent="0.3">
      <c r="A7" s="46"/>
      <c r="B7" s="47"/>
      <c r="C7" s="73"/>
      <c r="D7" s="73"/>
      <c r="E7" s="73"/>
      <c r="F7" s="5" t="s">
        <v>34</v>
      </c>
      <c r="G7" s="2">
        <f>'Quick Data Sheet'!N16</f>
        <v>50</v>
      </c>
      <c r="H7" s="8" t="s">
        <v>35</v>
      </c>
      <c r="I7" s="9" t="s">
        <v>36</v>
      </c>
      <c r="J7" s="9"/>
      <c r="K7" s="7"/>
    </row>
    <row r="8" spans="1:11" ht="0.75" customHeight="1" x14ac:dyDescent="0.25">
      <c r="A8" s="3"/>
      <c r="C8" s="29"/>
      <c r="D8" s="29"/>
      <c r="E8" s="29"/>
      <c r="K8" s="4"/>
    </row>
    <row r="9" spans="1:11" hidden="1" x14ac:dyDescent="0.25">
      <c r="A9" s="3"/>
      <c r="K9" s="4"/>
    </row>
    <row r="10" spans="1:11" ht="15.75" x14ac:dyDescent="0.25">
      <c r="A10" s="110" t="s">
        <v>22</v>
      </c>
      <c r="B10" s="111"/>
      <c r="C10" s="111"/>
      <c r="D10" s="111"/>
      <c r="E10" s="111"/>
      <c r="F10" s="111"/>
      <c r="G10" s="48"/>
      <c r="H10" s="48"/>
      <c r="I10" s="48"/>
      <c r="J10" s="48"/>
      <c r="K10" s="49"/>
    </row>
    <row r="11" spans="1:11" ht="30.75" x14ac:dyDescent="0.25">
      <c r="A11" s="50" t="s">
        <v>5</v>
      </c>
      <c r="B11" s="51" t="s">
        <v>4</v>
      </c>
      <c r="C11" s="51" t="s">
        <v>3</v>
      </c>
      <c r="D11" s="51" t="s">
        <v>2</v>
      </c>
      <c r="E11" s="51" t="s">
        <v>1</v>
      </c>
      <c r="F11" s="52" t="s">
        <v>0</v>
      </c>
      <c r="G11" s="48"/>
      <c r="H11" s="48"/>
      <c r="I11" s="48"/>
      <c r="J11" s="48"/>
      <c r="K11" s="49"/>
    </row>
    <row r="12" spans="1:11" x14ac:dyDescent="0.25">
      <c r="A12" s="53">
        <f>B5+273.15</f>
        <v>303.14999999999998</v>
      </c>
      <c r="B12" s="54">
        <f>101325/(A12*287)</f>
        <v>1.1646009582312549</v>
      </c>
      <c r="C12" s="54">
        <f>(4.112685*10^(-6))+(5.052295*(10^(-8))*(A12))-(1.43462*(10^(-11))*(A12^2))+(2.591403*(10^(-15))*(A12^3))</f>
        <v>1.8182497716455208E-5</v>
      </c>
      <c r="D12" s="54">
        <f>0.02624*(A12/300)^0.8646</f>
        <v>2.6478045926329661E-2</v>
      </c>
      <c r="E12" s="54">
        <f>1002.5+(275*(10^-6)*((A12-200)^2))</f>
        <v>1005.4259786875</v>
      </c>
      <c r="F12" s="54">
        <f>(C12*E12)/D12</f>
        <v>0.69042691490203612</v>
      </c>
      <c r="G12" s="48"/>
      <c r="H12" s="48"/>
      <c r="I12" s="48"/>
      <c r="J12" s="48"/>
      <c r="K12" s="49"/>
    </row>
    <row r="13" spans="1:11" x14ac:dyDescent="0.25">
      <c r="A13" s="55"/>
      <c r="B13" s="48"/>
      <c r="C13" s="48"/>
      <c r="D13" s="48"/>
      <c r="E13" s="48"/>
      <c r="F13" s="48"/>
      <c r="G13" s="48"/>
      <c r="H13" s="48"/>
      <c r="I13" s="48"/>
      <c r="J13" s="48"/>
      <c r="K13" s="49"/>
    </row>
    <row r="14" spans="1:11" ht="16.5" thickBot="1" x14ac:dyDescent="0.3">
      <c r="A14" s="112" t="s">
        <v>23</v>
      </c>
      <c r="B14" s="113"/>
      <c r="C14" s="113"/>
      <c r="D14" s="113"/>
      <c r="E14" s="113"/>
      <c r="F14" s="58"/>
      <c r="G14" s="48"/>
      <c r="H14" s="48"/>
      <c r="I14" s="48"/>
      <c r="J14" s="48"/>
      <c r="K14" s="49"/>
    </row>
    <row r="15" spans="1:11" ht="15.75" thickBot="1" x14ac:dyDescent="0.3">
      <c r="A15" s="55" t="s">
        <v>24</v>
      </c>
      <c r="B15" s="56">
        <f>(B12*B4*G4)/C12</f>
        <v>461164.74370165734</v>
      </c>
      <c r="C15" s="114" t="s">
        <v>25</v>
      </c>
      <c r="D15" s="115"/>
      <c r="E15" s="115"/>
      <c r="F15" s="57" t="str">
        <f>IF(B15&lt;(5*10^5),"Laminar","Turbulent")</f>
        <v>Laminar</v>
      </c>
      <c r="G15" s="48" t="s">
        <v>26</v>
      </c>
      <c r="H15" s="48"/>
      <c r="I15" s="48"/>
      <c r="J15" s="48"/>
      <c r="K15" s="49"/>
    </row>
    <row r="16" spans="1:11" x14ac:dyDescent="0.25">
      <c r="A16" s="55"/>
      <c r="B16" s="48"/>
      <c r="C16" s="48"/>
      <c r="D16" s="48"/>
      <c r="E16" s="48"/>
      <c r="F16" s="48"/>
      <c r="G16" s="48"/>
      <c r="H16" s="48"/>
      <c r="I16" s="48"/>
      <c r="J16" s="48"/>
      <c r="K16" s="49"/>
    </row>
    <row r="17" spans="1:11" ht="16.5" thickBot="1" x14ac:dyDescent="0.3">
      <c r="A17" s="116" t="s">
        <v>52</v>
      </c>
      <c r="B17" s="117"/>
      <c r="C17" s="117"/>
      <c r="D17" s="117"/>
      <c r="E17" s="117"/>
      <c r="F17" s="117"/>
      <c r="G17" s="41"/>
      <c r="H17" s="41"/>
      <c r="I17" s="41"/>
      <c r="J17" s="41"/>
      <c r="K17" s="42"/>
    </row>
    <row r="18" spans="1:11" ht="15.75" x14ac:dyDescent="0.25">
      <c r="A18" s="92" t="s">
        <v>27</v>
      </c>
      <c r="B18" s="93"/>
      <c r="C18" s="94"/>
      <c r="D18" s="95" t="s">
        <v>30</v>
      </c>
      <c r="E18" s="95"/>
      <c r="F18" s="96"/>
      <c r="G18" s="41"/>
      <c r="H18" s="41"/>
      <c r="I18" s="41"/>
      <c r="J18" s="41"/>
      <c r="K18" s="42"/>
    </row>
    <row r="19" spans="1:11" ht="15.75" thickBot="1" x14ac:dyDescent="0.3">
      <c r="A19" s="10" t="s">
        <v>28</v>
      </c>
      <c r="B19" s="25">
        <f>B20*D12/G4</f>
        <v>22.465013109111297</v>
      </c>
      <c r="C19" s="20" t="s">
        <v>29</v>
      </c>
      <c r="D19" s="26" t="s">
        <v>32</v>
      </c>
      <c r="E19" s="27" t="str">
        <f>IF(G6=0,"horizontal",IF(G6&lt;90,"inclined","vertical"))</f>
        <v>inclined</v>
      </c>
      <c r="F19" s="11" t="s">
        <v>31</v>
      </c>
      <c r="G19" s="41"/>
      <c r="H19" s="41"/>
      <c r="I19" s="41"/>
      <c r="J19" s="41"/>
      <c r="K19" s="42"/>
    </row>
    <row r="20" spans="1:11" ht="16.5" thickBot="1" x14ac:dyDescent="0.3">
      <c r="A20" s="28" t="s">
        <v>41</v>
      </c>
      <c r="B20" s="21">
        <f>0.13*(B15^0.703)*((1+SIN(RADIANS(G6)))^0.38)</f>
        <v>1527.1906283760134</v>
      </c>
      <c r="C20" s="22"/>
      <c r="D20" s="26" t="s">
        <v>33</v>
      </c>
      <c r="E20" s="12">
        <f>9.81*(1/((G7+273.15+A12)/2))*(G7+273.15-A12)*(G4^3)*(B12^2)/(C12^2)</f>
        <v>14990333849.898005</v>
      </c>
      <c r="F20" s="11"/>
      <c r="G20" s="41"/>
      <c r="H20" s="41"/>
      <c r="I20" s="41"/>
      <c r="J20" s="41"/>
      <c r="K20" s="42"/>
    </row>
    <row r="21" spans="1:11" ht="15.75" thickBot="1" x14ac:dyDescent="0.3">
      <c r="A21" s="46"/>
      <c r="B21" s="47"/>
      <c r="C21" s="47"/>
      <c r="D21" s="10" t="s">
        <v>37</v>
      </c>
      <c r="E21" s="12">
        <f>E20*F12</f>
        <v>10349729953.336641</v>
      </c>
      <c r="F21" s="11"/>
      <c r="G21" s="45" t="s">
        <v>42</v>
      </c>
      <c r="H21" s="45" t="s">
        <v>43</v>
      </c>
      <c r="I21" s="41"/>
      <c r="J21" s="41"/>
      <c r="K21" s="42"/>
    </row>
    <row r="22" spans="1:11" ht="15.75" thickBot="1" x14ac:dyDescent="0.3">
      <c r="A22" s="46"/>
      <c r="B22" s="47"/>
      <c r="C22" s="47"/>
      <c r="D22" s="10" t="s">
        <v>38</v>
      </c>
      <c r="E22" s="12">
        <f>IF(G6&lt;45,G22,H22)</f>
        <v>66.00817245529781</v>
      </c>
      <c r="F22" s="11"/>
      <c r="G22" s="45">
        <f>0.7386*((1+COS(RADIANS(G6)))^0.4575)*E21^0.1826</f>
        <v>63.590846555611357</v>
      </c>
      <c r="H22" s="45">
        <f>5.4412*((1+COS(RADIANS(G6)))^(-0.085))*E21^0.1102</f>
        <v>66.00817245529781</v>
      </c>
      <c r="I22" s="41"/>
      <c r="J22" s="41"/>
      <c r="K22" s="42"/>
    </row>
    <row r="23" spans="1:11" ht="16.5" thickBot="1" x14ac:dyDescent="0.3">
      <c r="A23" s="46"/>
      <c r="B23" s="47"/>
      <c r="C23" s="47"/>
      <c r="D23" s="10" t="s">
        <v>39</v>
      </c>
      <c r="E23" s="13">
        <f>E22*D12/G4</f>
        <v>0.97098190099136883</v>
      </c>
      <c r="F23" s="11"/>
      <c r="G23" s="41"/>
      <c r="H23" s="41"/>
      <c r="I23" s="41"/>
      <c r="J23" s="41"/>
      <c r="K23" s="42"/>
    </row>
    <row r="24" spans="1:11" ht="15.75" thickBot="1" x14ac:dyDescent="0.3">
      <c r="A24" s="97" t="s">
        <v>40</v>
      </c>
      <c r="B24" s="98"/>
      <c r="C24" s="98"/>
      <c r="D24" s="98"/>
      <c r="E24" s="98"/>
      <c r="F24" s="99"/>
      <c r="G24" s="41"/>
      <c r="H24" s="41"/>
      <c r="I24" s="41"/>
      <c r="J24" s="41"/>
      <c r="K24" s="42"/>
    </row>
    <row r="25" spans="1:11" x14ac:dyDescent="0.25">
      <c r="A25" s="44" t="s">
        <v>41</v>
      </c>
      <c r="B25" s="41">
        <f>(((B19*G4/D12)^3)+(E22^3))^0.3333</f>
        <v>1526.1124957419104</v>
      </c>
      <c r="C25" s="41"/>
      <c r="D25" s="41"/>
      <c r="E25" s="41"/>
      <c r="F25" s="41"/>
      <c r="G25" s="41"/>
      <c r="H25" s="41"/>
      <c r="I25" s="41"/>
      <c r="J25" s="41"/>
      <c r="K25" s="42"/>
    </row>
    <row r="26" spans="1:11" ht="15.75" thickBot="1" x14ac:dyDescent="0.3">
      <c r="A26" s="23" t="s">
        <v>28</v>
      </c>
      <c r="B26" s="24">
        <f>B25*D12/G4</f>
        <v>22.449153750555489</v>
      </c>
      <c r="C26" s="43" t="s">
        <v>29</v>
      </c>
      <c r="D26" s="41"/>
      <c r="E26" s="41"/>
      <c r="F26" s="41"/>
      <c r="G26" s="41"/>
      <c r="H26" s="41"/>
      <c r="I26" s="41"/>
      <c r="J26" s="41"/>
      <c r="K26" s="42"/>
    </row>
    <row r="27" spans="1:11" ht="16.5" thickBot="1" x14ac:dyDescent="0.3">
      <c r="A27" s="90" t="s">
        <v>51</v>
      </c>
      <c r="B27" s="91"/>
      <c r="C27" s="91"/>
      <c r="D27" s="91"/>
      <c r="E27" s="91"/>
      <c r="F27" s="91"/>
      <c r="G27" s="32"/>
      <c r="H27" s="32"/>
      <c r="I27" s="32"/>
      <c r="J27" s="32"/>
      <c r="K27" s="33"/>
    </row>
    <row r="28" spans="1:11" ht="15.75" x14ac:dyDescent="0.25">
      <c r="A28" s="92" t="s">
        <v>27</v>
      </c>
      <c r="B28" s="93"/>
      <c r="C28" s="94"/>
      <c r="D28" s="95" t="s">
        <v>30</v>
      </c>
      <c r="E28" s="95"/>
      <c r="F28" s="96"/>
      <c r="G28" s="34"/>
      <c r="H28" s="34"/>
      <c r="I28" s="34"/>
      <c r="J28" s="34"/>
      <c r="K28" s="35"/>
    </row>
    <row r="29" spans="1:11" ht="15.75" thickBot="1" x14ac:dyDescent="0.3">
      <c r="A29" s="10" t="s">
        <v>28</v>
      </c>
      <c r="B29" s="25">
        <f>B19*((90-G6)/90)</f>
        <v>11.232506554555648</v>
      </c>
      <c r="C29" s="20" t="s">
        <v>29</v>
      </c>
      <c r="D29" s="26" t="s">
        <v>32</v>
      </c>
      <c r="E29" s="27" t="str">
        <f>IF(G6=0,"horizontal",IF(G6&lt;90,"inclined","vertical"))</f>
        <v>inclined</v>
      </c>
      <c r="F29" s="11" t="s">
        <v>31</v>
      </c>
      <c r="G29" s="34"/>
      <c r="H29" s="34"/>
      <c r="I29" s="34"/>
      <c r="J29" s="34"/>
      <c r="K29" s="35"/>
    </row>
    <row r="30" spans="1:11" ht="16.5" thickBot="1" x14ac:dyDescent="0.3">
      <c r="A30" s="28"/>
      <c r="B30" s="21"/>
      <c r="C30" s="22"/>
      <c r="D30" s="26" t="s">
        <v>33</v>
      </c>
      <c r="E30" s="12">
        <f>9.81*(1/((G7+273.15+A12)/2))*(G7+273.15-A12)*(G4^3)*(B12^2)/(C12^2)</f>
        <v>14990333849.898005</v>
      </c>
      <c r="F30" s="11"/>
      <c r="G30" s="34"/>
      <c r="H30" s="34"/>
      <c r="I30" s="34"/>
      <c r="J30" s="34"/>
      <c r="K30" s="35"/>
    </row>
    <row r="31" spans="1:11" ht="15.75" thickBot="1" x14ac:dyDescent="0.3">
      <c r="A31" s="46"/>
      <c r="B31" s="47"/>
      <c r="C31" s="47"/>
      <c r="D31" s="10" t="s">
        <v>37</v>
      </c>
      <c r="E31" s="12">
        <f>E30*F12</f>
        <v>10349729953.336641</v>
      </c>
      <c r="F31" s="11"/>
      <c r="G31" s="36" t="s">
        <v>42</v>
      </c>
      <c r="H31" s="36" t="s">
        <v>43</v>
      </c>
      <c r="I31" s="59">
        <f>0</f>
        <v>0</v>
      </c>
      <c r="J31" s="34"/>
      <c r="K31" s="35"/>
    </row>
    <row r="32" spans="1:11" ht="15.75" thickBot="1" x14ac:dyDescent="0.3">
      <c r="A32" s="46"/>
      <c r="B32" s="47"/>
      <c r="C32" s="47"/>
      <c r="D32" s="10" t="s">
        <v>38</v>
      </c>
      <c r="E32" s="12">
        <f>IF(G6=0,I32,IF(0&lt;G6&lt;46,G32,H32))</f>
        <v>66.00817245529781</v>
      </c>
      <c r="F32" s="11"/>
      <c r="G32" s="36">
        <f>0.7386*((1+COS(RADIANS(G6)))^0.4575)*E31^0.1826</f>
        <v>63.590846555611357</v>
      </c>
      <c r="H32" s="36">
        <f>5.4412*((1+COS(RADIANS(G6)))^(-0.085))*E31^0.1102</f>
        <v>66.00817245529781</v>
      </c>
      <c r="I32" s="59">
        <f>0.27*(E31^0.25)</f>
        <v>86.118413144519792</v>
      </c>
      <c r="J32" s="34"/>
      <c r="K32" s="35"/>
    </row>
    <row r="33" spans="1:11" ht="16.5" thickBot="1" x14ac:dyDescent="0.3">
      <c r="A33" s="46"/>
      <c r="B33" s="47"/>
      <c r="C33" s="47"/>
      <c r="D33" s="10" t="s">
        <v>39</v>
      </c>
      <c r="E33" s="13">
        <f>E32*D12/G4</f>
        <v>0.97098190099136883</v>
      </c>
      <c r="F33" s="11"/>
      <c r="G33" s="34"/>
      <c r="H33" s="34"/>
      <c r="I33" s="34"/>
      <c r="J33" s="34"/>
      <c r="K33" s="35"/>
    </row>
    <row r="34" spans="1:11" ht="15.75" thickBot="1" x14ac:dyDescent="0.3">
      <c r="A34" s="97" t="s">
        <v>40</v>
      </c>
      <c r="B34" s="98"/>
      <c r="C34" s="98"/>
      <c r="D34" s="98"/>
      <c r="E34" s="98"/>
      <c r="F34" s="99"/>
      <c r="G34" s="34"/>
      <c r="H34" s="34"/>
      <c r="I34" s="34"/>
      <c r="J34" s="34"/>
      <c r="K34" s="35"/>
    </row>
    <row r="35" spans="1:11" x14ac:dyDescent="0.25">
      <c r="A35" s="40" t="s">
        <v>41</v>
      </c>
      <c r="B35" s="34">
        <f>(((B29*G4/D12)^3)+(E32^3))^0.3333</f>
        <v>763.25286050382476</v>
      </c>
      <c r="C35" s="34"/>
      <c r="D35" s="34"/>
      <c r="E35" s="34"/>
      <c r="F35" s="34"/>
      <c r="G35" s="34"/>
      <c r="H35" s="34"/>
      <c r="I35" s="34"/>
      <c r="J35" s="34"/>
      <c r="K35" s="35"/>
    </row>
    <row r="36" spans="1:11" ht="15.75" thickBot="1" x14ac:dyDescent="0.3">
      <c r="A36" s="14" t="s">
        <v>28</v>
      </c>
      <c r="B36" s="15">
        <f>B35*D12/G4</f>
        <v>11.227469052123755</v>
      </c>
      <c r="C36" s="39" t="s">
        <v>29</v>
      </c>
      <c r="D36" s="37"/>
      <c r="E36" s="37"/>
      <c r="F36" s="37"/>
      <c r="G36" s="37"/>
      <c r="H36" s="37"/>
      <c r="I36" s="37"/>
      <c r="J36" s="37"/>
      <c r="K36" s="38"/>
    </row>
  </sheetData>
  <sheetProtection algorithmName="SHA-512" hashValue="Zs64OBSa289siypkTHkKFVlSl7Yy9hbMH58xbqRnZQFkw6XuiBKRjOYHrks+oweBG43TUl5lRQTCdCWgcztH3Q==" saltValue="KP6P/zK0wXWl9m4Y0EKO2Q==" spinCount="100000" sheet="1" objects="1" scenarios="1"/>
  <mergeCells count="18">
    <mergeCell ref="F3:K3"/>
    <mergeCell ref="A24:F24"/>
    <mergeCell ref="A1:K2"/>
    <mergeCell ref="I6:J6"/>
    <mergeCell ref="A10:F10"/>
    <mergeCell ref="A14:E14"/>
    <mergeCell ref="C15:E15"/>
    <mergeCell ref="A17:F17"/>
    <mergeCell ref="D5:E5"/>
    <mergeCell ref="A3:E3"/>
    <mergeCell ref="I4:J4"/>
    <mergeCell ref="I5:J5"/>
    <mergeCell ref="A27:F27"/>
    <mergeCell ref="A28:C28"/>
    <mergeCell ref="D28:F28"/>
    <mergeCell ref="A34:F34"/>
    <mergeCell ref="A18:C18"/>
    <mergeCell ref="D18:F18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Quick Data Sheet</vt:lpstr>
      <vt:lpstr>Calculations</vt:lpstr>
      <vt:lpstr>h_bottom</vt:lpstr>
      <vt:lpstr>h_upper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T. Al Jadir</dc:creator>
  <cp:lastModifiedBy>Saud T. Al Jadir</cp:lastModifiedBy>
  <dcterms:created xsi:type="dcterms:W3CDTF">2023-03-18T11:19:47Z</dcterms:created>
  <dcterms:modified xsi:type="dcterms:W3CDTF">2023-03-20T21:33:29Z</dcterms:modified>
</cp:coreProperties>
</file>